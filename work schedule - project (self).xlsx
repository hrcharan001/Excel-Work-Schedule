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66\Desktop\Assignments-Excel\"/>
    </mc:Choice>
  </mc:AlternateContent>
  <xr:revisionPtr revIDLastSave="0" documentId="13_ncr:1_{B7D1E800-A7F4-44B4-9FB3-E0B62C2474C0}" xr6:coauthVersionLast="47" xr6:coauthVersionMax="47" xr10:uidLastSave="{00000000-0000-0000-0000-000000000000}"/>
  <bookViews>
    <workbookView xWindow="-108" yWindow="-108" windowWidth="23256" windowHeight="12456" xr2:uid="{CA409825-CC00-4B7D-9977-942424C3D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3" i="1" l="1"/>
  <c r="AK14" i="1"/>
  <c r="AK15" i="1"/>
  <c r="AK16" i="1"/>
  <c r="AK17" i="1"/>
  <c r="AK12" i="1"/>
  <c r="AJ13" i="1"/>
  <c r="AJ14" i="1"/>
  <c r="AJ15" i="1"/>
  <c r="AJ16" i="1"/>
  <c r="AJ17" i="1"/>
  <c r="AI13" i="1"/>
  <c r="AI14" i="1"/>
  <c r="AI15" i="1"/>
  <c r="AI16" i="1"/>
  <c r="AI17" i="1"/>
  <c r="AH13" i="1"/>
  <c r="AH14" i="1"/>
  <c r="AH15" i="1"/>
  <c r="AH16" i="1"/>
  <c r="AH17" i="1"/>
  <c r="AF19" i="1" a="1"/>
  <c r="AF19" i="1" s="1"/>
  <c r="C19" i="1" a="1"/>
  <c r="C19" i="1" s="1"/>
  <c r="D19" i="1" a="1"/>
  <c r="D19" i="1" s="1"/>
  <c r="E19" i="1" a="1"/>
  <c r="E19" i="1"/>
  <c r="F19" i="1" a="1"/>
  <c r="F19" i="1" s="1"/>
  <c r="G19" i="1" a="1"/>
  <c r="G19" i="1"/>
  <c r="H19" i="1" a="1"/>
  <c r="H19" i="1"/>
  <c r="I19" i="1" a="1"/>
  <c r="I19" i="1" s="1"/>
  <c r="J19" i="1" a="1"/>
  <c r="J19" i="1"/>
  <c r="K19" i="1" a="1"/>
  <c r="K19" i="1"/>
  <c r="L19" i="1" a="1"/>
  <c r="L19" i="1"/>
  <c r="M19" i="1" a="1"/>
  <c r="M19" i="1"/>
  <c r="N19" i="1" a="1"/>
  <c r="N19" i="1"/>
  <c r="O19" i="1" a="1"/>
  <c r="O19" i="1"/>
  <c r="P19" i="1" a="1"/>
  <c r="P19" i="1"/>
  <c r="Q19" i="1" a="1"/>
  <c r="Q19" i="1"/>
  <c r="R19" i="1" a="1"/>
  <c r="R19" i="1"/>
  <c r="S19" i="1" a="1"/>
  <c r="S19" i="1"/>
  <c r="T19" i="1" a="1"/>
  <c r="T19" i="1"/>
  <c r="U19" i="1" a="1"/>
  <c r="U19" i="1" s="1"/>
  <c r="V19" i="1" a="1"/>
  <c r="V19" i="1"/>
  <c r="W19" i="1" a="1"/>
  <c r="W19" i="1"/>
  <c r="X19" i="1" a="1"/>
  <c r="X19" i="1"/>
  <c r="Y19" i="1" a="1"/>
  <c r="Y19" i="1"/>
  <c r="Z19" i="1" a="1"/>
  <c r="Z19" i="1"/>
  <c r="AA19" i="1" a="1"/>
  <c r="AA19" i="1"/>
  <c r="AB19" i="1" a="1"/>
  <c r="AB19" i="1"/>
  <c r="AC19" i="1" a="1"/>
  <c r="AC19" i="1"/>
  <c r="AD19" i="1" a="1"/>
  <c r="AD19" i="1"/>
  <c r="AE19" i="1" a="1"/>
  <c r="AE19" i="1" s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J12" i="1"/>
  <c r="AI12" i="1"/>
  <c r="AH12" i="1"/>
  <c r="B19" i="1" a="1"/>
  <c r="B19" i="1" s="1"/>
  <c r="B18" i="1"/>
  <c r="B10" i="1" a="1"/>
  <c r="B2" i="1"/>
  <c r="B10" i="1" l="1"/>
  <c r="B11" i="1" s="1"/>
  <c r="D11" i="1"/>
  <c r="L11" i="1"/>
  <c r="T11" i="1"/>
  <c r="AB11" i="1"/>
  <c r="M11" i="1"/>
  <c r="U11" i="1"/>
  <c r="AC11" i="1"/>
  <c r="N11" i="1"/>
  <c r="V11" i="1"/>
  <c r="AD11" i="1"/>
  <c r="Q11" i="1"/>
  <c r="AA11" i="1"/>
  <c r="E11" i="1"/>
  <c r="I11" i="1"/>
  <c r="Z11" i="1"/>
  <c r="C11" i="1"/>
  <c r="K11" i="1"/>
  <c r="S11" i="1"/>
  <c r="F11" i="1"/>
  <c r="G11" i="1"/>
  <c r="O11" i="1"/>
  <c r="W11" i="1"/>
  <c r="AE11" i="1"/>
  <c r="H11" i="1"/>
  <c r="P11" i="1"/>
  <c r="X11" i="1"/>
  <c r="AF11" i="1"/>
  <c r="Y11" i="1"/>
  <c r="J11" i="1"/>
  <c r="R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<sst xmlns="http://schemas.openxmlformats.org/spreadsheetml/2006/main" count="118" uniqueCount="20">
  <si>
    <t>Morning</t>
  </si>
  <si>
    <t>Afternoon</t>
  </si>
  <si>
    <t>Night</t>
  </si>
  <si>
    <t xml:space="preserve">Shift </t>
  </si>
  <si>
    <t>Timing</t>
  </si>
  <si>
    <t>Employee Name</t>
  </si>
  <si>
    <t xml:space="preserve">Hari Charan </t>
  </si>
  <si>
    <t>Boopathy</t>
  </si>
  <si>
    <t>Sridhar</t>
  </si>
  <si>
    <t>Akash</t>
  </si>
  <si>
    <t>Lavanya</t>
  </si>
  <si>
    <t>Ritika</t>
  </si>
  <si>
    <t>Start Date</t>
  </si>
  <si>
    <t>Number of shifts</t>
  </si>
  <si>
    <t>Shift Checks</t>
  </si>
  <si>
    <t>Total Report</t>
  </si>
  <si>
    <t>Total Shifts</t>
  </si>
  <si>
    <t>03:30 - 12:30</t>
  </si>
  <si>
    <t>12:30 - 07:00</t>
  </si>
  <si>
    <t>06:00 - 03:30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</si>
</sst>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6" borderId="7" xfId="0" applyFill="1" applyBorder="1"/>
    <xf numFmtId="166" fontId="0" fillId="6" borderId="8" xfId="0" applyNumberFormat="1" applyFont="1" applyFill="1" applyBorder="1" applyAlignment="1">
      <alignment horizontal="center"/>
    </xf>
    <xf numFmtId="166" fontId="0" fillId="6" borderId="8" xfId="0" applyNumberFormat="1" applyFill="1" applyBorder="1" applyAlignment="1">
      <alignment horizontal="center"/>
    </xf>
    <xf numFmtId="166" fontId="0" fillId="6" borderId="9" xfId="0" applyNumberForma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8" borderId="0" xfId="0" applyFont="1" applyFill="1"/>
    <xf numFmtId="0" fontId="3" fillId="8" borderId="0" xfId="0" applyFont="1" applyFill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0" borderId="15" xfId="0" applyBorder="1"/>
    <xf numFmtId="0" fontId="0" fillId="0" borderId="14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31"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7030A0"/>
      </font>
      <fill>
        <patternFill>
          <bgColor theme="3" tint="0.89996032593768116"/>
        </patternFill>
      </fill>
    </dxf>
    <dxf>
      <font>
        <color rgb="FFFF0000"/>
      </font>
      <fill>
        <patternFill>
          <bgColor theme="3" tint="0.89996032593768116"/>
        </patternFill>
      </fill>
    </dxf>
    <dxf>
      <font>
        <color rgb="FF00B0F0"/>
      </font>
      <fill>
        <patternFill>
          <bgColor theme="3" tint="0.89996032593768116"/>
        </patternFill>
      </fill>
    </dxf>
    <dxf>
      <border>
        <left style="thin">
          <color rgb="FFFF0000"/>
        </left>
        <right style="thin">
          <color rgb="FFFF0000"/>
        </right>
        <top/>
        <bottom/>
        <vertical/>
        <horizontal/>
      </border>
    </dxf>
    <dxf>
      <font>
        <color rgb="FF7030A0"/>
      </font>
      <fill>
        <patternFill>
          <bgColor theme="3" tint="0.89996032593768116"/>
        </patternFill>
      </fill>
    </dxf>
    <dxf>
      <font>
        <color rgb="FFFF0000"/>
      </font>
      <fill>
        <patternFill>
          <bgColor theme="3" tint="0.89996032593768116"/>
        </patternFill>
      </fill>
    </dxf>
    <dxf>
      <font>
        <color rgb="FF00B0F0"/>
      </font>
      <fill>
        <patternFill>
          <bgColor theme="3" tint="0.89996032593768116"/>
        </patternFill>
      </fill>
    </dxf>
    <dxf>
      <border>
        <left style="dashDot">
          <color rgb="FFFF0000"/>
        </left>
        <right style="dashDot">
          <color rgb="FFFF0000"/>
        </right>
        <top/>
        <bottom/>
        <vertical/>
        <horizontal/>
      </border>
    </dxf>
    <dxf>
      <font>
        <color rgb="FF7030A0"/>
      </font>
      <fill>
        <patternFill>
          <bgColor theme="3" tint="0.89996032593768116"/>
        </patternFill>
      </fill>
    </dxf>
    <dxf>
      <font>
        <color rgb="FFFF0000"/>
      </font>
      <fill>
        <patternFill>
          <bgColor theme="3" tint="0.89996032593768116"/>
        </patternFill>
      </fill>
    </dxf>
    <dxf>
      <font>
        <color rgb="FF00B0F0"/>
      </font>
      <fill>
        <patternFill>
          <bgColor theme="3" tint="0.89996032593768116"/>
        </patternFill>
      </fill>
    </dxf>
    <dxf>
      <border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color rgb="FF7030A0"/>
      </font>
      <fill>
        <patternFill>
          <bgColor theme="3" tint="0.89996032593768116"/>
        </patternFill>
      </fill>
    </dxf>
    <dxf>
      <font>
        <color rgb="FFFF0000"/>
      </font>
      <fill>
        <patternFill>
          <bgColor theme="3" tint="0.89996032593768116"/>
        </patternFill>
      </fill>
    </dxf>
    <dxf>
      <font>
        <color rgb="FF00B0F0"/>
      </font>
      <fill>
        <patternFill>
          <bgColor theme="3" tint="0.89996032593768116"/>
        </patternFill>
      </fill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rgb="FF7030A0"/>
      </font>
      <fill>
        <patternFill>
          <bgColor theme="3" tint="0.89996032593768116"/>
        </patternFill>
      </fill>
    </dxf>
    <dxf>
      <font>
        <color rgb="FFFF0000"/>
      </font>
      <fill>
        <patternFill>
          <bgColor theme="3" tint="0.89996032593768116"/>
        </patternFill>
      </fill>
    </dxf>
    <dxf>
      <font>
        <color rgb="FF00B0F0"/>
      </font>
      <fill>
        <patternFill>
          <bgColor theme="3" tint="0.89996032593768116"/>
        </patternFill>
      </fill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rgb="FF7030A0"/>
      </font>
      <fill>
        <patternFill>
          <bgColor theme="3" tint="0.89996032593768116"/>
        </patternFill>
      </fill>
    </dxf>
    <dxf>
      <font>
        <color rgb="FFFF0000"/>
      </font>
      <fill>
        <patternFill>
          <bgColor theme="3" tint="0.89996032593768116"/>
        </patternFill>
      </fill>
    </dxf>
    <dxf>
      <font>
        <color rgb="FF00B0F0"/>
      </font>
      <fill>
        <patternFill>
          <bgColor theme="3" tint="0.89996032593768116"/>
        </patternFill>
      </fill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rgb="FF7030A0"/>
      </font>
      <fill>
        <patternFill>
          <bgColor theme="3" tint="0.89996032593768116"/>
        </patternFill>
      </fill>
    </dxf>
    <dxf>
      <font>
        <color rgb="FFFF0000"/>
      </font>
      <fill>
        <patternFill>
          <bgColor theme="3" tint="0.89996032593768116"/>
        </patternFill>
      </fill>
    </dxf>
    <dxf>
      <font>
        <color rgb="FF00B0F0"/>
      </font>
      <fill>
        <patternFill>
          <bgColor theme="3" tint="0.89996032593768116"/>
        </patternFill>
      </fill>
    </dxf>
    <dxf>
      <font>
        <color rgb="FF7030A0"/>
      </font>
      <fill>
        <patternFill>
          <bgColor theme="3" tint="0.89996032593768116"/>
        </patternFill>
      </fill>
    </dxf>
    <dxf>
      <font>
        <color rgb="FFFF0000"/>
      </font>
      <fill>
        <patternFill>
          <bgColor theme="3" tint="0.89996032593768116"/>
        </patternFill>
      </fill>
    </dxf>
    <dxf>
      <font>
        <color rgb="FF00B0F0"/>
      </font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63B6-3412-4ECE-B11E-303A10870A1A}">
  <sheetPr>
    <pageSetUpPr autoPageBreaks="0"/>
  </sheetPr>
  <dimension ref="A1:BA19"/>
  <sheetViews>
    <sheetView tabSelected="1" zoomScaleNormal="100" workbookViewId="0">
      <selection activeCell="E7" sqref="E7"/>
    </sheetView>
  </sheetViews>
  <sheetFormatPr defaultRowHeight="14.4" x14ac:dyDescent="0.3"/>
  <cols>
    <col min="1" max="1" width="14.6640625" bestFit="1" customWidth="1"/>
    <col min="2" max="2" width="26.44140625" customWidth="1"/>
    <col min="3" max="29" width="22.44140625" bestFit="1" customWidth="1"/>
    <col min="30" max="32" width="13.88671875" bestFit="1" customWidth="1"/>
    <col min="37" max="37" width="9.109375" customWidth="1"/>
    <col min="38" max="38" width="0.21875" customWidth="1"/>
  </cols>
  <sheetData>
    <row r="1" spans="1:53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</row>
    <row r="2" spans="1:53" ht="28.8" x14ac:dyDescent="0.55000000000000004">
      <c r="A2" s="17"/>
      <c r="B2" s="18" t="str">
        <f>"Monthly Work Schedule " &amp;TEXT(B6,"mmmm yyy")</f>
        <v>Monthly Work Schedule February 2026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</row>
    <row r="3" spans="1:53" x14ac:dyDescent="0.3">
      <c r="A3" s="1"/>
    </row>
    <row r="5" spans="1:53" x14ac:dyDescent="0.3">
      <c r="B5" s="7" t="s">
        <v>12</v>
      </c>
      <c r="D5" s="8" t="s">
        <v>3</v>
      </c>
      <c r="E5" s="8" t="s">
        <v>4</v>
      </c>
    </row>
    <row r="6" spans="1:53" x14ac:dyDescent="0.3">
      <c r="B6" s="31">
        <v>46054</v>
      </c>
      <c r="D6" s="2" t="s">
        <v>0</v>
      </c>
      <c r="E6" s="2" t="s">
        <v>19</v>
      </c>
    </row>
    <row r="7" spans="1:53" x14ac:dyDescent="0.3">
      <c r="D7" s="3" t="s">
        <v>1</v>
      </c>
      <c r="E7" s="3" t="s">
        <v>17</v>
      </c>
    </row>
    <row r="8" spans="1:53" x14ac:dyDescent="0.3">
      <c r="D8" s="4" t="s">
        <v>2</v>
      </c>
      <c r="E8" s="4" t="s">
        <v>18</v>
      </c>
    </row>
    <row r="9" spans="1:53" ht="15" thickBot="1" x14ac:dyDescent="0.35"/>
    <row r="10" spans="1:53" x14ac:dyDescent="0.3">
      <c r="A10" s="9"/>
      <c r="B10" s="10" cm="1">
        <f t="array" ref="B10:AC10">_xlfn.SEQUENCE(1,EOMONTH(B6,0)-B6+1,B6)</f>
        <v>46054</v>
      </c>
      <c r="C10" s="10">
        <v>46055</v>
      </c>
      <c r="D10" s="10">
        <v>46056</v>
      </c>
      <c r="E10" s="10">
        <v>46057</v>
      </c>
      <c r="F10" s="10">
        <v>46058</v>
      </c>
      <c r="G10" s="10">
        <v>46059</v>
      </c>
      <c r="H10" s="10">
        <v>46060</v>
      </c>
      <c r="I10" s="10">
        <v>46061</v>
      </c>
      <c r="J10" s="10">
        <v>46062</v>
      </c>
      <c r="K10" s="10">
        <v>46063</v>
      </c>
      <c r="L10" s="10">
        <v>46064</v>
      </c>
      <c r="M10" s="10">
        <v>46065</v>
      </c>
      <c r="N10" s="10">
        <v>46066</v>
      </c>
      <c r="O10" s="10">
        <v>46067</v>
      </c>
      <c r="P10" s="10">
        <v>46068</v>
      </c>
      <c r="Q10" s="10">
        <v>46069</v>
      </c>
      <c r="R10" s="10">
        <v>46070</v>
      </c>
      <c r="S10" s="10">
        <v>46071</v>
      </c>
      <c r="T10" s="10">
        <v>46072</v>
      </c>
      <c r="U10" s="10">
        <v>46073</v>
      </c>
      <c r="V10" s="10">
        <v>46074</v>
      </c>
      <c r="W10" s="10">
        <v>46075</v>
      </c>
      <c r="X10" s="10">
        <v>46076</v>
      </c>
      <c r="Y10" s="10">
        <v>46077</v>
      </c>
      <c r="Z10" s="10">
        <v>46078</v>
      </c>
      <c r="AA10" s="10">
        <v>46079</v>
      </c>
      <c r="AB10" s="10">
        <v>46080</v>
      </c>
      <c r="AC10" s="10">
        <v>46081</v>
      </c>
      <c r="AD10" s="11"/>
      <c r="AE10" s="11"/>
      <c r="AF10" s="12"/>
      <c r="AH10" s="19" t="s">
        <v>15</v>
      </c>
      <c r="AI10" s="20"/>
      <c r="AJ10" s="20"/>
      <c r="AK10" s="20"/>
      <c r="AL10" s="21"/>
    </row>
    <row r="11" spans="1:53" x14ac:dyDescent="0.3">
      <c r="A11" s="13" t="s">
        <v>5</v>
      </c>
      <c r="B11" s="14" t="str">
        <f>TEXT(B10,"dddd")</f>
        <v>Sunday</v>
      </c>
      <c r="C11" s="14" t="str">
        <f t="shared" ref="C11:AF11" si="0">TEXT(C10,"dddd")</f>
        <v>Monday</v>
      </c>
      <c r="D11" s="14" t="str">
        <f t="shared" si="0"/>
        <v>Tuesday</v>
      </c>
      <c r="E11" s="14" t="str">
        <f t="shared" si="0"/>
        <v>Wednesday</v>
      </c>
      <c r="F11" s="14" t="str">
        <f t="shared" si="0"/>
        <v>Thursday</v>
      </c>
      <c r="G11" s="14" t="str">
        <f t="shared" si="0"/>
        <v>Friday</v>
      </c>
      <c r="H11" s="14" t="str">
        <f t="shared" si="0"/>
        <v>Saturday</v>
      </c>
      <c r="I11" s="14" t="str">
        <f t="shared" si="0"/>
        <v>Sunday</v>
      </c>
      <c r="J11" s="14" t="str">
        <f t="shared" si="0"/>
        <v>Monday</v>
      </c>
      <c r="K11" s="14" t="str">
        <f t="shared" si="0"/>
        <v>Tuesday</v>
      </c>
      <c r="L11" s="14" t="str">
        <f t="shared" si="0"/>
        <v>Wednesday</v>
      </c>
      <c r="M11" s="14" t="str">
        <f t="shared" si="0"/>
        <v>Thursday</v>
      </c>
      <c r="N11" s="14" t="str">
        <f t="shared" si="0"/>
        <v>Friday</v>
      </c>
      <c r="O11" s="14" t="str">
        <f t="shared" si="0"/>
        <v>Saturday</v>
      </c>
      <c r="P11" s="14" t="str">
        <f t="shared" si="0"/>
        <v>Sunday</v>
      </c>
      <c r="Q11" s="14" t="str">
        <f t="shared" si="0"/>
        <v>Monday</v>
      </c>
      <c r="R11" s="14" t="str">
        <f t="shared" si="0"/>
        <v>Tuesday</v>
      </c>
      <c r="S11" s="14" t="str">
        <f t="shared" si="0"/>
        <v>Wednesday</v>
      </c>
      <c r="T11" s="14" t="str">
        <f t="shared" si="0"/>
        <v>Thursday</v>
      </c>
      <c r="U11" s="14" t="str">
        <f t="shared" si="0"/>
        <v>Friday</v>
      </c>
      <c r="V11" s="14" t="str">
        <f t="shared" si="0"/>
        <v>Saturday</v>
      </c>
      <c r="W11" s="14" t="str">
        <f t="shared" si="0"/>
        <v>Sunday</v>
      </c>
      <c r="X11" s="14" t="str">
        <f t="shared" si="0"/>
        <v>Monday</v>
      </c>
      <c r="Y11" s="14" t="str">
        <f t="shared" si="0"/>
        <v>Tuesday</v>
      </c>
      <c r="Z11" s="14" t="str">
        <f t="shared" si="0"/>
        <v>Wednesday</v>
      </c>
      <c r="AA11" s="14" t="str">
        <f t="shared" si="0"/>
        <v>Thursday</v>
      </c>
      <c r="AB11" s="14" t="str">
        <f t="shared" si="0"/>
        <v>Friday</v>
      </c>
      <c r="AC11" s="14" t="str">
        <f t="shared" si="0"/>
        <v>Saturday</v>
      </c>
      <c r="AD11" s="14" t="str">
        <f t="shared" si="0"/>
        <v>Saturday</v>
      </c>
      <c r="AE11" s="14" t="str">
        <f t="shared" si="0"/>
        <v>Saturday</v>
      </c>
      <c r="AF11" s="15" t="str">
        <f t="shared" si="0"/>
        <v>Saturday</v>
      </c>
      <c r="AH11" s="22" t="s">
        <v>0</v>
      </c>
      <c r="AI11" s="23" t="s">
        <v>1</v>
      </c>
      <c r="AJ11" s="23" t="s">
        <v>2</v>
      </c>
      <c r="AK11" s="23" t="s">
        <v>16</v>
      </c>
      <c r="AL11" s="24"/>
    </row>
    <row r="12" spans="1:53" x14ac:dyDescent="0.3">
      <c r="A12" s="5" t="s">
        <v>6</v>
      </c>
      <c r="B12" t="s">
        <v>0</v>
      </c>
      <c r="C12" t="s">
        <v>1</v>
      </c>
      <c r="D12" t="s">
        <v>1</v>
      </c>
      <c r="F12" t="s">
        <v>1</v>
      </c>
      <c r="G12" t="s">
        <v>1</v>
      </c>
      <c r="H12" t="s">
        <v>2</v>
      </c>
      <c r="I12" t="s">
        <v>1</v>
      </c>
      <c r="J12" t="s">
        <v>2</v>
      </c>
      <c r="K12" t="s">
        <v>1</v>
      </c>
      <c r="M12" t="s">
        <v>1</v>
      </c>
      <c r="N12" t="s">
        <v>0</v>
      </c>
      <c r="O12" t="s">
        <v>1</v>
      </c>
      <c r="P12" t="s">
        <v>0</v>
      </c>
      <c r="Q12" t="s">
        <v>0</v>
      </c>
      <c r="R12" t="s">
        <v>0</v>
      </c>
      <c r="T12" t="s">
        <v>0</v>
      </c>
      <c r="U12" t="s">
        <v>0</v>
      </c>
      <c r="W12" t="s">
        <v>0</v>
      </c>
      <c r="X12" t="s">
        <v>1</v>
      </c>
      <c r="Y12" t="s">
        <v>1</v>
      </c>
      <c r="AA12" t="s">
        <v>0</v>
      </c>
      <c r="AB12" t="s">
        <v>0</v>
      </c>
      <c r="AC12" t="s">
        <v>1</v>
      </c>
      <c r="AD12" t="s">
        <v>1</v>
      </c>
      <c r="AE12" t="s">
        <v>2</v>
      </c>
      <c r="AF12" t="s">
        <v>0</v>
      </c>
      <c r="AH12" s="25">
        <f>COUNTIF($B12:$AF12,"Morning")</f>
        <v>11</v>
      </c>
      <c r="AI12" s="26">
        <f>COUNTIF($B12:$AF12,"Afternoon")</f>
        <v>12</v>
      </c>
      <c r="AJ12" s="26">
        <f>COUNTIF($B12:$AF12,"Night")</f>
        <v>3</v>
      </c>
      <c r="AK12" s="26">
        <f>SUM(AH12:AJ12)</f>
        <v>26</v>
      </c>
      <c r="AL12" s="24"/>
    </row>
    <row r="13" spans="1:53" x14ac:dyDescent="0.3">
      <c r="A13" s="5" t="s">
        <v>7</v>
      </c>
      <c r="B13" t="s">
        <v>2</v>
      </c>
      <c r="D13" t="s">
        <v>2</v>
      </c>
      <c r="F13" t="s">
        <v>2</v>
      </c>
      <c r="K13" t="s">
        <v>2</v>
      </c>
      <c r="O13" t="s">
        <v>2</v>
      </c>
      <c r="Q13" t="s">
        <v>2</v>
      </c>
      <c r="T13" t="s">
        <v>0</v>
      </c>
      <c r="U13" t="s">
        <v>2</v>
      </c>
      <c r="V13" t="s">
        <v>2</v>
      </c>
      <c r="W13" t="s">
        <v>2</v>
      </c>
      <c r="X13" t="s">
        <v>2</v>
      </c>
      <c r="AA13" t="s">
        <v>0</v>
      </c>
      <c r="AB13" t="s">
        <v>2</v>
      </c>
      <c r="AD13" t="s">
        <v>2</v>
      </c>
      <c r="AF13" t="s">
        <v>0</v>
      </c>
      <c r="AH13" s="25">
        <f t="shared" ref="AH13:AH17" si="1">COUNTIF($B13:$AF13,"Morning")</f>
        <v>3</v>
      </c>
      <c r="AI13" s="26">
        <f t="shared" ref="AI13:AI17" si="2">COUNTIF($B13:$AF13,"Afternoon")</f>
        <v>0</v>
      </c>
      <c r="AJ13" s="26">
        <f t="shared" ref="AJ13:AJ17" si="3">COUNTIF($B13:$AF13,"Night")</f>
        <v>12</v>
      </c>
      <c r="AK13" s="26">
        <f t="shared" ref="AK13:AK17" si="4">SUM(AH13:AJ13)</f>
        <v>15</v>
      </c>
      <c r="AL13" s="24"/>
    </row>
    <row r="14" spans="1:53" x14ac:dyDescent="0.3">
      <c r="A14" s="5" t="s">
        <v>8</v>
      </c>
      <c r="C14" t="s">
        <v>2</v>
      </c>
      <c r="D14" t="s">
        <v>0</v>
      </c>
      <c r="G14" t="s">
        <v>0</v>
      </c>
      <c r="H14" t="s">
        <v>1</v>
      </c>
      <c r="I14" t="s">
        <v>2</v>
      </c>
      <c r="J14" t="s">
        <v>1</v>
      </c>
      <c r="K14" t="s">
        <v>0</v>
      </c>
      <c r="M14" t="s">
        <v>2</v>
      </c>
      <c r="N14" t="s">
        <v>1</v>
      </c>
      <c r="O14" t="s">
        <v>0</v>
      </c>
      <c r="P14" t="s">
        <v>1</v>
      </c>
      <c r="R14" t="s">
        <v>1</v>
      </c>
      <c r="T14" t="s">
        <v>2</v>
      </c>
      <c r="X14" t="s">
        <v>0</v>
      </c>
      <c r="Y14" t="s">
        <v>2</v>
      </c>
      <c r="AA14" t="s">
        <v>2</v>
      </c>
      <c r="AC14" t="s">
        <v>2</v>
      </c>
      <c r="AD14" t="s">
        <v>0</v>
      </c>
      <c r="AE14" t="s">
        <v>1</v>
      </c>
      <c r="AF14" t="s">
        <v>2</v>
      </c>
      <c r="AH14" s="25">
        <f t="shared" si="1"/>
        <v>6</v>
      </c>
      <c r="AI14" s="26">
        <f t="shared" si="2"/>
        <v>6</v>
      </c>
      <c r="AJ14" s="26">
        <f t="shared" si="3"/>
        <v>8</v>
      </c>
      <c r="AK14" s="26">
        <f t="shared" si="4"/>
        <v>20</v>
      </c>
      <c r="AL14" s="24"/>
    </row>
    <row r="15" spans="1:53" x14ac:dyDescent="0.3">
      <c r="A15" s="5" t="s">
        <v>9</v>
      </c>
      <c r="B15" t="s">
        <v>2</v>
      </c>
      <c r="D15" t="s">
        <v>1</v>
      </c>
      <c r="F15" t="s">
        <v>1</v>
      </c>
      <c r="K15" t="s">
        <v>1</v>
      </c>
      <c r="O15" t="s">
        <v>1</v>
      </c>
      <c r="Q15" t="s">
        <v>2</v>
      </c>
      <c r="T15" t="s">
        <v>1</v>
      </c>
      <c r="U15" t="s">
        <v>2</v>
      </c>
      <c r="V15" t="s">
        <v>1</v>
      </c>
      <c r="W15" t="s">
        <v>2</v>
      </c>
      <c r="X15" t="s">
        <v>1</v>
      </c>
      <c r="AA15" t="s">
        <v>1</v>
      </c>
      <c r="AB15" t="s">
        <v>2</v>
      </c>
      <c r="AD15" t="s">
        <v>1</v>
      </c>
      <c r="AF15" t="s">
        <v>1</v>
      </c>
      <c r="AH15" s="25">
        <f t="shared" si="1"/>
        <v>0</v>
      </c>
      <c r="AI15" s="26">
        <f t="shared" si="2"/>
        <v>10</v>
      </c>
      <c r="AJ15" s="26">
        <f t="shared" si="3"/>
        <v>5</v>
      </c>
      <c r="AK15" s="26">
        <f t="shared" si="4"/>
        <v>15</v>
      </c>
      <c r="AL15" s="24"/>
    </row>
    <row r="16" spans="1:53" x14ac:dyDescent="0.3">
      <c r="A16" s="5" t="s">
        <v>10</v>
      </c>
      <c r="H16" t="s">
        <v>2</v>
      </c>
      <c r="J16" t="s">
        <v>2</v>
      </c>
      <c r="N16" t="s">
        <v>2</v>
      </c>
      <c r="P16" t="s">
        <v>2</v>
      </c>
      <c r="R16" t="s">
        <v>2</v>
      </c>
      <c r="AE16" t="s">
        <v>2</v>
      </c>
      <c r="AH16" s="25">
        <f t="shared" si="1"/>
        <v>0</v>
      </c>
      <c r="AI16" s="26">
        <f t="shared" si="2"/>
        <v>0</v>
      </c>
      <c r="AJ16" s="26">
        <f t="shared" si="3"/>
        <v>6</v>
      </c>
      <c r="AK16" s="26">
        <f t="shared" si="4"/>
        <v>6</v>
      </c>
      <c r="AL16" s="24"/>
    </row>
    <row r="17" spans="1:38" ht="15" thickBot="1" x14ac:dyDescent="0.35">
      <c r="A17" s="5" t="s">
        <v>11</v>
      </c>
      <c r="B17" t="s">
        <v>1</v>
      </c>
      <c r="C17" t="s">
        <v>1</v>
      </c>
      <c r="F17" t="s">
        <v>0</v>
      </c>
      <c r="G17" t="s">
        <v>2</v>
      </c>
      <c r="I17" t="s">
        <v>1</v>
      </c>
      <c r="M17" t="s">
        <v>1</v>
      </c>
      <c r="Q17" t="s">
        <v>1</v>
      </c>
      <c r="U17" t="s">
        <v>1</v>
      </c>
      <c r="V17" t="s">
        <v>2</v>
      </c>
      <c r="W17" t="s">
        <v>1</v>
      </c>
      <c r="Y17" t="s">
        <v>1</v>
      </c>
      <c r="AB17" t="s">
        <v>1</v>
      </c>
      <c r="AC17" t="s">
        <v>1</v>
      </c>
      <c r="AH17" s="27">
        <f t="shared" si="1"/>
        <v>1</v>
      </c>
      <c r="AI17" s="28">
        <f t="shared" si="2"/>
        <v>10</v>
      </c>
      <c r="AJ17" s="28">
        <f t="shared" si="3"/>
        <v>2</v>
      </c>
      <c r="AK17" s="28">
        <f t="shared" si="4"/>
        <v>13</v>
      </c>
      <c r="AL17" s="29"/>
    </row>
    <row r="18" spans="1:38" x14ac:dyDescent="0.3">
      <c r="A18" s="6" t="s">
        <v>13</v>
      </c>
      <c r="B18" s="16">
        <f>COUNTA(B12:B17)</f>
        <v>4</v>
      </c>
      <c r="C18" s="16">
        <f t="shared" ref="C18:AF18" si="5">COUNTA(C12:C17)</f>
        <v>3</v>
      </c>
      <c r="D18" s="16">
        <f t="shared" si="5"/>
        <v>4</v>
      </c>
      <c r="E18" s="16">
        <f t="shared" si="5"/>
        <v>0</v>
      </c>
      <c r="F18" s="16">
        <f t="shared" si="5"/>
        <v>4</v>
      </c>
      <c r="G18" s="16">
        <f t="shared" si="5"/>
        <v>3</v>
      </c>
      <c r="H18" s="16">
        <f t="shared" si="5"/>
        <v>3</v>
      </c>
      <c r="I18" s="16">
        <f t="shared" si="5"/>
        <v>3</v>
      </c>
      <c r="J18" s="16">
        <f t="shared" si="5"/>
        <v>3</v>
      </c>
      <c r="K18" s="16">
        <f t="shared" si="5"/>
        <v>4</v>
      </c>
      <c r="L18" s="16">
        <f t="shared" si="5"/>
        <v>0</v>
      </c>
      <c r="M18" s="16">
        <f t="shared" si="5"/>
        <v>3</v>
      </c>
      <c r="N18" s="16">
        <f t="shared" si="5"/>
        <v>3</v>
      </c>
      <c r="O18" s="16">
        <f t="shared" si="5"/>
        <v>4</v>
      </c>
      <c r="P18" s="16">
        <f t="shared" si="5"/>
        <v>3</v>
      </c>
      <c r="Q18" s="16">
        <f t="shared" si="5"/>
        <v>4</v>
      </c>
      <c r="R18" s="16">
        <f t="shared" si="5"/>
        <v>3</v>
      </c>
      <c r="S18" s="16">
        <f t="shared" si="5"/>
        <v>0</v>
      </c>
      <c r="T18" s="16">
        <f t="shared" si="5"/>
        <v>4</v>
      </c>
      <c r="U18" s="16">
        <f t="shared" si="5"/>
        <v>4</v>
      </c>
      <c r="V18" s="16">
        <f t="shared" si="5"/>
        <v>3</v>
      </c>
      <c r="W18" s="16">
        <f t="shared" si="5"/>
        <v>4</v>
      </c>
      <c r="X18" s="16">
        <f t="shared" si="5"/>
        <v>4</v>
      </c>
      <c r="Y18" s="16">
        <f t="shared" si="5"/>
        <v>3</v>
      </c>
      <c r="Z18" s="16">
        <f t="shared" si="5"/>
        <v>0</v>
      </c>
      <c r="AA18" s="16">
        <f t="shared" si="5"/>
        <v>4</v>
      </c>
      <c r="AB18" s="16">
        <f t="shared" si="5"/>
        <v>4</v>
      </c>
      <c r="AC18" s="16">
        <f t="shared" si="5"/>
        <v>3</v>
      </c>
      <c r="AD18" s="16">
        <f t="shared" si="5"/>
        <v>4</v>
      </c>
      <c r="AE18" s="16">
        <f t="shared" si="5"/>
        <v>3</v>
      </c>
      <c r="AF18" s="16">
        <f t="shared" si="5"/>
        <v>4</v>
      </c>
    </row>
    <row r="19" spans="1:38" x14ac:dyDescent="0.3">
      <c r="A19" s="30" t="s">
        <v>14</v>
      </c>
      <c r="B19" t="str" cm="1">
        <f t="array" ref="B19">IF(MIN(COUNTIF(B12:B17,{"Morning","Afternoon","Night"}))=0,"Missing","")</f>
        <v/>
      </c>
      <c r="C19" t="str" cm="1">
        <f t="array" ref="C19">IF(MIN(COUNTIF(C12:C17,{"Morning","Afternoon","Night"}))=0,"Missing","")</f>
        <v>Missing</v>
      </c>
      <c r="D19" t="str" cm="1">
        <f t="array" ref="D19">IF(MIN(COUNTIF(D12:D17,{"Morning","Afternoon","Night"}))=0,"Missing","")</f>
        <v/>
      </c>
      <c r="E19" t="str" cm="1">
        <f t="array" ref="E19">IF(MIN(COUNTIF(E12:E17,{"Morning","Afternoon","Night"}))=0,"Missing","")</f>
        <v>Missing</v>
      </c>
      <c r="F19" t="str" cm="1">
        <f t="array" ref="F19">IF(MIN(COUNTIF(F12:F17,{"Morning","Afternoon","Night"}))=0,"Missing","")</f>
        <v/>
      </c>
      <c r="G19" t="str" cm="1">
        <f t="array" ref="G19">IF(MIN(COUNTIF(G12:G17,{"Morning","Afternoon","Night"}))=0,"Missing","")</f>
        <v/>
      </c>
      <c r="H19" t="str" cm="1">
        <f t="array" ref="H19">IF(MIN(COUNTIF(H12:H17,{"Morning","Afternoon","Night"}))=0,"Missing","")</f>
        <v>Missing</v>
      </c>
      <c r="I19" t="str" cm="1">
        <f t="array" ref="I19">IF(MIN(COUNTIF(I12:I17,{"Morning","Afternoon","Night"}))=0,"Missing","")</f>
        <v>Missing</v>
      </c>
      <c r="J19" t="str" cm="1">
        <f t="array" ref="J19">IF(MIN(COUNTIF(J12:J17,{"Morning","Afternoon","Night"}))=0,"Missing","")</f>
        <v>Missing</v>
      </c>
      <c r="K19" t="str" cm="1">
        <f t="array" ref="K19">IF(MIN(COUNTIF(K12:K17,{"Morning","Afternoon","Night"}))=0,"Missing","")</f>
        <v/>
      </c>
      <c r="L19" t="str" cm="1">
        <f t="array" ref="L19">IF(MIN(COUNTIF(L12:L17,{"Morning","Afternoon","Night"}))=0,"Missing","")</f>
        <v>Missing</v>
      </c>
      <c r="M19" t="str" cm="1">
        <f t="array" ref="M19">IF(MIN(COUNTIF(M12:M17,{"Morning","Afternoon","Night"}))=0,"Missing","")</f>
        <v>Missing</v>
      </c>
      <c r="N19" t="str" cm="1">
        <f t="array" ref="N19">IF(MIN(COUNTIF(N12:N17,{"Morning","Afternoon","Night"}))=0,"Missing","")</f>
        <v/>
      </c>
      <c r="O19" t="str" cm="1">
        <f t="array" ref="O19">IF(MIN(COUNTIF(O12:O17,{"Morning","Afternoon","Night"}))=0,"Missing","")</f>
        <v/>
      </c>
      <c r="P19" t="str" cm="1">
        <f t="array" ref="P19">IF(MIN(COUNTIF(P12:P17,{"Morning","Afternoon","Night"}))=0,"Missing","")</f>
        <v/>
      </c>
      <c r="Q19" t="str" cm="1">
        <f t="array" ref="Q19">IF(MIN(COUNTIF(Q12:Q17,{"Morning","Afternoon","Night"}))=0,"Missing","")</f>
        <v/>
      </c>
      <c r="R19" t="str" cm="1">
        <f t="array" ref="R19">IF(MIN(COUNTIF(R12:R17,{"Morning","Afternoon","Night"}))=0,"Missing","")</f>
        <v/>
      </c>
      <c r="S19" t="str" cm="1">
        <f t="array" ref="S19">IF(MIN(COUNTIF(S12:S17,{"Morning","Afternoon","Night"}))=0,"Missing","")</f>
        <v>Missing</v>
      </c>
      <c r="T19" t="str" cm="1">
        <f t="array" ref="T19">IF(MIN(COUNTIF(T12:T17,{"Morning","Afternoon","Night"}))=0,"Missing","")</f>
        <v/>
      </c>
      <c r="U19" t="str" cm="1">
        <f t="array" ref="U19">IF(MIN(COUNTIF(U12:U17,{"Morning","Afternoon","Night"}))=0,"Missing","")</f>
        <v/>
      </c>
      <c r="V19" t="str" cm="1">
        <f t="array" ref="V19">IF(MIN(COUNTIF(V12:V17,{"Morning","Afternoon","Night"}))=0,"Missing","")</f>
        <v>Missing</v>
      </c>
      <c r="W19" t="str" cm="1">
        <f t="array" ref="W19">IF(MIN(COUNTIF(W12:W17,{"Morning","Afternoon","Night"}))=0,"Missing","")</f>
        <v/>
      </c>
      <c r="X19" t="str" cm="1">
        <f t="array" ref="X19">IF(MIN(COUNTIF(X12:X17,{"Morning","Afternoon","Night"}))=0,"Missing","")</f>
        <v/>
      </c>
      <c r="Y19" t="str" cm="1">
        <f t="array" ref="Y19">IF(MIN(COUNTIF(Y12:Y17,{"Morning","Afternoon","Night"}))=0,"Missing","")</f>
        <v>Missing</v>
      </c>
      <c r="Z19" t="str" cm="1">
        <f t="array" ref="Z19">IF(MIN(COUNTIF(Z12:Z17,{"Morning","Afternoon","Night"}))=0,"Missing","")</f>
        <v>Missing</v>
      </c>
      <c r="AA19" t="str" cm="1">
        <f t="array" ref="AA19">IF(MIN(COUNTIF(AA12:AA17,{"Morning","Afternoon","Night"}))=0,"Missing","")</f>
        <v/>
      </c>
      <c r="AB19" t="str" cm="1">
        <f t="array" ref="AB19">IF(MIN(COUNTIF(AB12:AB17,{"Morning","Afternoon","Night"}))=0,"Missing","")</f>
        <v/>
      </c>
      <c r="AC19" t="str" cm="1">
        <f t="array" ref="AC19">IF(MIN(COUNTIF(AC12:AC17,{"Morning","Afternoon","Night"}))=0,"Missing","")</f>
        <v>Missing</v>
      </c>
      <c r="AD19" t="str" cm="1">
        <f t="array" ref="AD19">IF(MIN(COUNTIF(AD12:AD17,{"Morning","Afternoon","Night"}))=0,"Missing","")</f>
        <v/>
      </c>
      <c r="AE19" t="str" cm="1">
        <f t="array" ref="AE19">IF(MIN(COUNTIF(AE12:AE17,{"Morning","Afternoon","Night"}))=0,"Missing","")</f>
        <v>Missing</v>
      </c>
      <c r="AF19" t="str" cm="1">
        <f t="array" ref="AF19">IF(MIN(COUNTIF(AF12:AF17,{"Morning","Afternoon","Night"}))=0,"Missing","")</f>
        <v/>
      </c>
    </row>
  </sheetData>
  <mergeCells count="1">
    <mergeCell ref="AH10:AL10"/>
  </mergeCells>
  <conditionalFormatting sqref="B17:AB17 B12:D16 F12:AB16 AC12:AF17">
    <cfRule type="cellIs" dxfId="7" priority="3" operator="equal">
      <formula>"Afternoon"</formula>
    </cfRule>
    <cfRule type="cellIs" dxfId="6" priority="4" operator="equal">
      <formula>"Morning"</formula>
    </cfRule>
    <cfRule type="cellIs" dxfId="5" priority="5" operator="equal">
      <formula>"Night"</formula>
    </cfRule>
  </conditionalFormatting>
  <conditionalFormatting sqref="AK12:AK17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{31CCB7FE-DE2E-4296-9DBD-049765B06419}</x14:id>
        </ext>
      </extLst>
    </cfRule>
  </conditionalFormatting>
  <conditionalFormatting sqref="B10:AF18">
    <cfRule type="expression" dxfId="4" priority="1">
      <formula>B$10=TODAY()</formula>
    </cfRule>
  </conditionalFormatting>
  <dataValidations count="1">
    <dataValidation type="list" allowBlank="1" showInputMessage="1" showErrorMessage="1" sqref="X16 V12:V16 W12:X15 AB12:AB15 AC12:AF16 Y12:AA16 R16:T16 B12:D15 F16:P16 C16:D16 F12:U15 B17:AF17" xr:uid="{CF73C18F-CB9B-4E67-8966-27804CD47A76}">
      <formula1>$D$6:$D$8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CCB7FE-DE2E-4296-9DBD-049765B064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AK12:AK17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haricharan k</dc:creator>
  <cp:lastModifiedBy>haricharan k</cp:lastModifiedBy>
  <dcterms:created xsi:type="dcterms:W3CDTF">2026-01-20T14:45:48Z</dcterms:created>
  <dcterms:modified xsi:type="dcterms:W3CDTF">2026-01-21T05:21:41Z</dcterms:modified>
</cp:coreProperties>
</file>